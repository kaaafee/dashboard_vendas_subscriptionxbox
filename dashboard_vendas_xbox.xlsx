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arina\Documents\Cursos\Ciência de Dados\Cursos livres\- Excel e Claude\Portfolio\Dashboard_Vendas\"/>
    </mc:Choice>
  </mc:AlternateContent>
  <xr:revisionPtr revIDLastSave="0" documentId="13_ncr:1_{9D2A8ED5-A941-44C2-ADD5-20374B10CDE6}" xr6:coauthVersionLast="47" xr6:coauthVersionMax="47" xr10:uidLastSave="{00000000-0000-0000-0000-000000000000}"/>
  <bookViews>
    <workbookView xWindow="-120" yWindow="-120" windowWidth="20730" windowHeight="110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3" l="1"/>
  <c r="E28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<sst xmlns="http://schemas.openxmlformats.org/spreadsheetml/2006/main" count="2022" uniqueCount="324">
  <si>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</si>
  <si>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</si>
  <si>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</si>
  <si>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</si>
  <si>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</si>
  <si>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</si>
  <si>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</si>
  <si>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</si>
  <si>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</si>
  <si>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</si>
  <si>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</si>
  <si>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</si>
  <si>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</si>
  <si>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</si>
  <si>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</si>
  <si>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</si>
  <si>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</si>
  <si>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</si>
  <si>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</si>
  <si>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</si>
  <si>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</si>
  <si>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</si>
  <si>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</si>
  <si>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</si>
  <si>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</si>
  <si>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</si>
  <si>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</si>
  <si>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</si>
  <si>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</si>
  <si>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</si>
  <si>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</si>
  <si>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</si>
  <si>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</si>
  <si>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</si>
  <si>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</si>
  <si>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</si>
  <si>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</si>
  <si>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</si>
  <si>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</si>
  <si>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</si>
  <si>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</si>
  <si>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</si>
  <si>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</si>
  <si>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</si>
  <si>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</si>
  <si>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</si>
  <si>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</si>
  <si>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</si>
  <si>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</si>
  <si>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</si>
  <si>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</si>
  <si>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</si>
  <si>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</si>
  <si>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</si>
  <si>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</si>
  <si>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</si>
  <si>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</si>
  <si>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</si>
  <si>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</si>
  <si>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</si>
  <si>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</si>
  <si>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</si>
  <si>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</si>
  <si>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</si>
  <si>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</si>
  <si>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</si>
  <si>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</si>
  <si>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</si>
  <si>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</si>
  <si>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</si>
  <si>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</si>
  <si>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</si>
  <si>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</si>
  <si>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</si>
  <si>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</si>
  <si>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</si>
  <si>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</si>
  <si>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</si>
  <si>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</si>
  <si>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</si>
  <si>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</si>
  <si>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</si>
  <si>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</si>
  <si>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</si>
  <si>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</si>
  <si>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</si>
  <si>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</si>
  <si>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</si>
  <si>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</si>
  <si>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</si>
  <si>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</si>
  <si>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</si>
  <si>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</si>
  <si>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</si>
  <si>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</si>
  <si>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</si>
  <si>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</si>
  <si>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</si>
  <si>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</si>
  <si>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</si>
  <si>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</si>
  <si>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</si>
  <si>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</si>
  <si>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</si>
  <si>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</si>
  <si>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</si>
  <si>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</si>
  <si>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</si>
  <si>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</si>
  <si>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</si>
  <si>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</si>
  <si>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</si>
  <si>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</si>
  <si>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</si>
  <si>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</si>
  <si>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</si>
  <si>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</si>
  <si>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</si>
  <si>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</si>
  <si>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</si>
  <si>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</si>
  <si>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</si>
  <si>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</si>
  <si>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</si>
  <si>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</si>
  <si>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</si>
  <si>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</si>
  <si>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</si>
  <si>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</si>
  <si>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</si>
  <si>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</si>
  <si>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</si>
  <si>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</si>
  <si>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</si>
  <si>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</si>
  <si>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</si>
  <si>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</si>
  <si>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</si>
  <si>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</si>
  <si>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</si>
  <si>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</si>
  <si>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</si>
  <si>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</si>
  <si>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</si>
  <si>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</si>
  <si>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</si>
  <si>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</si>
  <si>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</si>
  <si>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</si>
  <si>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</si>
  <si>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</si>
  <si>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</si>
  <si>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</si>
  <si>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</si>
  <si>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</si>
  <si>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</si>
  <si>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</si>
  <si>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</si>
  <si>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</si>
  <si>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</si>
  <si>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</si>
  <si>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</si>
  <si>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</si>
  <si>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</si>
  <si>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</si>
  <si>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</si>
  <si>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</si>
  <si>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</si>
  <si>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</si>
  <si>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</si>
  <si>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</si>
  <si>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</si>
  <si>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</si>
  <si>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</si>
  <si>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</si>
  <si>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</si>
  <si>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</si>
  <si>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</si>
  <si>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</si>
  <si>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</si>
  <si>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</si>
  <si>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</si>
  <si>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</si>
  <si>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</si>
  <si>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</si>
  <si>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</si>
  <si>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</si>
  <si>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</si>
  <si>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</si>
  <si>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</si>
  <si>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</si>
  <si>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</si>
  <si>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</si>
  <si>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</si>
  <si>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</si>
  <si>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</si>
  <si>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</si>
  <si>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</si>
  <si>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</si>
  <si>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</si>
  <si>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</si>
  <si>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</si>
  <si>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</si>
  <si>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</si>
  <si>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</si>
  <si>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</si>
  <si>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</si>
  <si>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</si>
  <si>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</si>
  <si>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</si>
  <si>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</si>
  <si>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</si>
  <si>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</si>
  <si>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</si>
  <si>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</si>
  <si>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</si>
  <si>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</si>
  <si>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</si>
  <si>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</si>
  <si>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</si>
  <si>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</si>
  <si>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</si>
  <si>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</si>
  <si>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</si>
  <si>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</si>
  <si>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</si>
  <si>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</si>
  <si>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</si>
  <si>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</si>
  <si>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</si>
  <si>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</si>
  <si>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</si>
  <si>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</si>
  <si>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</si>
  <si>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</si>
  <si>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</si>
  <si>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</si>
  <si>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</si>
  <si>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</si>
  <si>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</si>
  <si>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</si>
  <si>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</si>
  <si>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</si>
  <si>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</si>
  <si>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</si>
  <si>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</si>
  <si>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</si>
  <si>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</si>
  <si>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</si>
  <si>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</si>
  <si>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</si>
  <si>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</si>
  <si>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</si>
  <si>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</si>
  <si>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</si>
  <si>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</si>
  <si>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</si>
  <si>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</si>
  <si>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</si>
  <si>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</si>
  <si>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</si>
  <si>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</si>
  <si>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</si>
  <si>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</si>
  <si>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</si>
  <si>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</si>
  <si>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</si>
  <si>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</si>
  <si>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</si>
  <si>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</si>
  <si>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</si>
  <si>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</si>
  <si>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</si>
  <si>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</si>
  <si>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</si>
  <si>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</si>
  <si>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</si>
  <si>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</si>
  <si>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</si>
  <si>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</si>
  <si>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</si>
  <si>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</si>
  <si>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</si>
  <si>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</si>
  <si>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</si>
  <si>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</si>
  <si>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</si>
  <si>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</si>
  <si>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</si>
  <si>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</si>
  <si>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</si>
  <si>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</si>
  <si>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</si>
  <si>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</si>
  <si>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</si>
  <si>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</si>
  <si>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</si>
  <si>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</si>
  <si>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</si>
  <si>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</si>
  <si>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</si>
  <si>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</si>
  <si>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</si>
  <si>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</si>
  <si>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</si>
  <si>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</si>
  <si>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</si>
  <si>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</si>
  <si>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</si>
  <si>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</si>
  <si>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</si>
  <si>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</si>
  <si>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</si>
  <si>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</si>
  <si>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</si>
  <si>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</si>
  <si>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Uma pergunta de negócio respondida através de alguma análise de dado específica é o que transforma dado em informação</t>
  </si>
  <si>
    <r>
      <t xml:space="preserve">Pergunta de Negócio 1: Qual </t>
    </r>
    <r>
      <rPr>
        <b/>
        <sz val="11"/>
        <color theme="1"/>
        <rFont val="Aptos Narrow"/>
        <family val="2"/>
        <scheme val="minor"/>
      </rPr>
      <t>faturamento total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contendo todas as assinaturas agregadas</t>
    </r>
  </si>
  <si>
    <r>
      <t xml:space="preserve">Pergunta de Negócio 2: Qual </t>
    </r>
    <r>
      <rPr>
        <b/>
        <sz val="11"/>
        <color theme="1"/>
        <rFont val="Aptos Narrow"/>
        <family val="2"/>
        <scheme val="minor"/>
      </rPr>
      <t>faturamento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 xml:space="preserve">planos anuais </t>
    </r>
    <r>
      <rPr>
        <sz val="11"/>
        <color theme="1"/>
        <rFont val="Aptos Narrow"/>
        <family val="2"/>
        <scheme val="minor"/>
      </rPr>
      <t xml:space="preserve">separado por </t>
    </r>
    <r>
      <rPr>
        <b/>
        <sz val="11"/>
        <color theme="1"/>
        <rFont val="Aptos Narrow"/>
        <family val="2"/>
        <scheme val="minor"/>
      </rPr>
      <t>auto renovação e sem renovação</t>
    </r>
  </si>
  <si>
    <t>XBOX GAME PASS SUBSCRIPTION SALES</t>
  </si>
  <si>
    <t>Soma de EA Play Season Pass</t>
  </si>
  <si>
    <t>Soma de Minecraft Season Pass Price</t>
  </si>
  <si>
    <r>
      <t xml:space="preserve">Pergunta de Negócio 3 -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</t>
    </r>
    <r>
      <rPr>
        <b/>
        <sz val="11"/>
        <color theme="1"/>
        <rFont val="Aptos Narrow"/>
        <family val="2"/>
        <scheme val="minor"/>
      </rPr>
      <t>EA Play</t>
    </r>
  </si>
  <si>
    <r>
      <t xml:space="preserve">Pergunta de Negócio 4 -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</t>
    </r>
    <r>
      <rPr>
        <b/>
        <sz val="11"/>
        <color theme="1"/>
        <rFont val="Aptos Narrow"/>
        <family val="2"/>
        <scheme val="minor"/>
      </rPr>
      <t>Minecraft Season Pass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</si>
</sst>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rgb="FF2AE6B1"/>
      <name val="Segoe UI"/>
      <family val="2"/>
    </font>
    <font>
      <b/>
      <sz val="16"/>
      <color rgb="FF2AE6B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E7457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8" borderId="0" xfId="3" applyAlignment="1">
      <alignment horizontal="center"/>
    </xf>
    <xf numFmtId="0" fontId="0" fillId="0" borderId="0" xfId="0" applyAlignment="1">
      <alignment horizontal="left"/>
    </xf>
    <xf numFmtId="0" fontId="5" fillId="0" borderId="2" xfId="1" applyFont="1" applyFill="1" applyBorder="1"/>
    <xf numFmtId="165" fontId="0" fillId="0" borderId="0" xfId="0" applyNumberFormat="1"/>
    <xf numFmtId="0" fontId="6" fillId="0" borderId="2" xfId="1" applyFont="1" applyFill="1" applyBorder="1" applyAlignment="1">
      <alignment horizontal="left" indent="9"/>
    </xf>
  </cellXfs>
  <cellStyles count="4">
    <cellStyle name="Bom" xfId="3" builtinId="26"/>
    <cellStyle name="Moeda" xfId="2" builtinId="4"/>
    <cellStyle name="Normal" xfId="0" builtinId="0"/>
    <cellStyle name="Título 1" xfId="1" builtinId="16"/>
  </cellStyles>
  <dxfs count="24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C6C1EBA5-D6DE-451D-A21E-3D99E9249670}">
      <tableStyleElement type="wholeTable" dxfId="9"/>
      <tableStyleElement type="headerRow" dxfId="8"/>
    </tableStyle>
  </tableStyles>
  <colors>
    <mruColors>
      <color rgb="FF0E7457"/>
      <color rgb="FF2AE6B1"/>
      <color rgb="FF22C55E"/>
      <color rgb="FFE8E6E9"/>
      <color rgb="FF5BF6A8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0E7457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[base.xlsx]C̳álculos!tbl_anual_total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E7457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E7457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C̳álculos!$B$15:$B$17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C̳álculos!$C$15:$C$17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9C-43DE-AD68-C2C793B76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9083247"/>
        <c:axId val="309095247"/>
      </c:barChart>
      <c:catAx>
        <c:axId val="309083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095247"/>
        <c:crosses val="autoZero"/>
        <c:auto val="1"/>
        <c:lblAlgn val="ctr"/>
        <c:lblOffset val="100"/>
        <c:noMultiLvlLbl val="0"/>
      </c:catAx>
      <c:valAx>
        <c:axId val="30909524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0908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12212</xdr:colOff>
      <xdr:row>0</xdr:row>
      <xdr:rowOff>130969</xdr:rowOff>
    </xdr:from>
    <xdr:to>
      <xdr:col>3</xdr:col>
      <xdr:colOff>2749</xdr:colOff>
      <xdr:row>2</xdr:row>
      <xdr:rowOff>309563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BB05EE-4515-46B4-86AC-61EC58BA35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22" t="18681" r="72504" b="15937"/>
        <a:stretch>
          <a:fillRect/>
        </a:stretch>
      </xdr:blipFill>
      <xdr:spPr>
        <a:xfrm>
          <a:off x="1988650" y="130969"/>
          <a:ext cx="835880" cy="1000125"/>
        </a:xfrm>
        <a:prstGeom prst="rect">
          <a:avLst/>
        </a:prstGeom>
      </xdr:spPr>
    </xdr:pic>
    <xdr:clientData/>
  </xdr:twoCellAnchor>
  <xdr:twoCellAnchor editAs="absolute">
    <xdr:from>
      <xdr:col>0</xdr:col>
      <xdr:colOff>47624</xdr:colOff>
      <xdr:row>5</xdr:row>
      <xdr:rowOff>128588</xdr:rowOff>
    </xdr:from>
    <xdr:to>
      <xdr:col>0</xdr:col>
      <xdr:colOff>1876424</xdr:colOff>
      <xdr:row>11</xdr:row>
      <xdr:rowOff>178593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89A56728-C337-44F5-9976-32FD1B151E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4" y="1625374"/>
              <a:ext cx="1828800" cy="12916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214311</xdr:colOff>
      <xdr:row>6</xdr:row>
      <xdr:rowOff>37826</xdr:rowOff>
    </xdr:from>
    <xdr:to>
      <xdr:col>8</xdr:col>
      <xdr:colOff>33308</xdr:colOff>
      <xdr:row>12</xdr:row>
      <xdr:rowOff>30245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DE18F1B4-A2B6-30C1-6F2B-06E57325F079}"/>
            </a:ext>
          </a:extLst>
        </xdr:cNvPr>
        <xdr:cNvGrpSpPr/>
      </xdr:nvGrpSpPr>
      <xdr:grpSpPr>
        <a:xfrm>
          <a:off x="2187347" y="1670683"/>
          <a:ext cx="3731050" cy="1285098"/>
          <a:chOff x="2166937" y="1726407"/>
          <a:chExt cx="4048125" cy="1433511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A2310C71-090D-C533-11E3-9457ECB9455B}"/>
              </a:ext>
            </a:extLst>
          </xdr:cNvPr>
          <xdr:cNvSpPr/>
        </xdr:nvSpPr>
        <xdr:spPr>
          <a:xfrm>
            <a:off x="2166937" y="1750219"/>
            <a:ext cx="4036220" cy="1143000"/>
          </a:xfrm>
          <a:prstGeom prst="roundRect">
            <a:avLst>
              <a:gd name="adj" fmla="val 658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8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BFFD372D-1507-452B-B6A7-A898D4A653E8}"/>
              </a:ext>
            </a:extLst>
          </xdr:cNvPr>
          <xdr:cNvSpPr/>
        </xdr:nvSpPr>
        <xdr:spPr>
          <a:xfrm>
            <a:off x="3464720" y="2210990"/>
            <a:ext cx="2607468" cy="678656"/>
          </a:xfrm>
          <a:prstGeom prst="roundRect">
            <a:avLst>
              <a:gd name="adj" fmla="val 658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5A94F41-C05F-4D40-91C7-1397C52F4DAC}" type="TxLink">
              <a:rPr lang="en-US" sz="2800" b="0" i="0" u="none" strike="noStrike">
                <a:solidFill>
                  <a:srgbClr val="0E7457"/>
                </a:solidFill>
                <a:latin typeface="Aptos Narrow"/>
              </a:rPr>
              <a:pPr algn="ctr"/>
              <a:t>R$ 990,00</a:t>
            </a:fld>
            <a:endParaRPr lang="pt-BR" sz="2800">
              <a:solidFill>
                <a:srgbClr val="0E7457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CCE92E62-BD61-4509-92F6-8E88F33CF8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62187" y="1940718"/>
            <a:ext cx="1219200" cy="1219200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37B46E92-E0B1-E03D-FF11-F40B66FD4DFE}"/>
              </a:ext>
            </a:extLst>
          </xdr:cNvPr>
          <xdr:cNvSpPr/>
        </xdr:nvSpPr>
        <xdr:spPr>
          <a:xfrm>
            <a:off x="2166937" y="1726407"/>
            <a:ext cx="4048125" cy="488156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8</xdr:col>
      <xdr:colOff>167914</xdr:colOff>
      <xdr:row>6</xdr:row>
      <xdr:rowOff>37826</xdr:rowOff>
    </xdr:from>
    <xdr:to>
      <xdr:col>14</xdr:col>
      <xdr:colOff>397564</xdr:colOff>
      <xdr:row>10</xdr:row>
      <xdr:rowOff>172492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60891CBA-D0FF-4410-9D48-DB5A96D466CD}"/>
            </a:ext>
          </a:extLst>
        </xdr:cNvPr>
        <xdr:cNvGrpSpPr/>
      </xdr:nvGrpSpPr>
      <xdr:grpSpPr>
        <a:xfrm>
          <a:off x="6053003" y="1670683"/>
          <a:ext cx="3733490" cy="1053148"/>
          <a:chOff x="6346034" y="1714501"/>
          <a:chExt cx="4048125" cy="1166812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141DACD7-7C15-4E94-8EDF-B30302486C7A}"/>
              </a:ext>
            </a:extLst>
          </xdr:cNvPr>
          <xdr:cNvGrpSpPr/>
        </xdr:nvGrpSpPr>
        <xdr:grpSpPr>
          <a:xfrm>
            <a:off x="6346034" y="1714501"/>
            <a:ext cx="4048125" cy="1166812"/>
            <a:chOff x="2166937" y="1726407"/>
            <a:chExt cx="4048125" cy="1166812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5572B374-7EE4-FD52-947F-1F81EB358FC0}"/>
                </a:ext>
              </a:extLst>
            </xdr:cNvPr>
            <xdr:cNvSpPr/>
          </xdr:nvSpPr>
          <xdr:spPr>
            <a:xfrm>
              <a:off x="2166937" y="1750219"/>
              <a:ext cx="4036220" cy="1143000"/>
            </a:xfrm>
            <a:prstGeom prst="roundRect">
              <a:avLst>
                <a:gd name="adj" fmla="val 658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8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9FBC50CD-C688-8503-FF90-EC3CB0B8D4C3}"/>
                </a:ext>
              </a:extLst>
            </xdr:cNvPr>
            <xdr:cNvSpPr/>
          </xdr:nvSpPr>
          <xdr:spPr>
            <a:xfrm>
              <a:off x="3464720" y="2210990"/>
              <a:ext cx="2607468" cy="678656"/>
            </a:xfrm>
            <a:prstGeom prst="roundRect">
              <a:avLst>
                <a:gd name="adj" fmla="val 658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CEA76B1-1032-452D-8417-1D8290BA1DC7}" type="TxLink">
                <a:rPr lang="en-US" sz="2400" b="0" i="0" u="none" strike="noStrike">
                  <a:solidFill>
                    <a:srgbClr val="0E7457"/>
                  </a:solidFill>
                  <a:latin typeface="Aptos Narrow"/>
                </a:rPr>
                <a:t>R$ 1.140,00</a:t>
              </a:fld>
              <a:endParaRPr lang="pt-BR" sz="5400">
                <a:solidFill>
                  <a:srgbClr val="0E7457"/>
                </a:solidFill>
              </a:endParaRPr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5C196281-DF3A-20C4-7C49-2C42675B3E1E}"/>
                </a:ext>
              </a:extLst>
            </xdr:cNvPr>
            <xdr:cNvSpPr/>
          </xdr:nvSpPr>
          <xdr:spPr>
            <a:xfrm>
              <a:off x="2166937" y="1726407"/>
              <a:ext cx="4048125" cy="488156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MINECRAFT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574B4E53-424E-463F-BEEF-08156726AE8E}"/>
              </a:ext>
            </a:extLst>
          </xdr:cNvPr>
          <xdr:cNvGrpSpPr/>
        </xdr:nvGrpSpPr>
        <xdr:grpSpPr>
          <a:xfrm>
            <a:off x="6607971" y="2274094"/>
            <a:ext cx="1023937" cy="478632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F465A5E3-16DC-14E2-A158-8FD458F6E77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6446F579-3AD2-7CBF-B62D-109C645C2BC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202407</xdr:colOff>
      <xdr:row>11</xdr:row>
      <xdr:rowOff>107157</xdr:rowOff>
    </xdr:from>
    <xdr:to>
      <xdr:col>14</xdr:col>
      <xdr:colOff>416719</xdr:colOff>
      <xdr:row>25</xdr:row>
      <xdr:rowOff>107158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F3A66FA3-8470-9CC0-FA4E-751A66823ACA}"/>
            </a:ext>
          </a:extLst>
        </xdr:cNvPr>
        <xdr:cNvGrpSpPr/>
      </xdr:nvGrpSpPr>
      <xdr:grpSpPr>
        <a:xfrm>
          <a:off x="2175443" y="2845595"/>
          <a:ext cx="7630205" cy="2619376"/>
          <a:chOff x="2168465" y="3417091"/>
          <a:chExt cx="8316304" cy="3261701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7D1BD174-567F-23F0-4479-B69E292AEE95}"/>
              </a:ext>
            </a:extLst>
          </xdr:cNvPr>
          <xdr:cNvGrpSpPr/>
        </xdr:nvGrpSpPr>
        <xdr:grpSpPr>
          <a:xfrm>
            <a:off x="2168769" y="3771837"/>
            <a:ext cx="8316000" cy="2906955"/>
            <a:chOff x="2297906" y="1702594"/>
            <a:chExt cx="5036344" cy="2790826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BEB87554-7996-0EE0-0BB6-5C2BA6B147E8}"/>
                </a:ext>
              </a:extLst>
            </xdr:cNvPr>
            <xdr:cNvSpPr/>
          </xdr:nvSpPr>
          <xdr:spPr>
            <a:xfrm>
              <a:off x="2297906" y="1702594"/>
              <a:ext cx="5036344" cy="2690812"/>
            </a:xfrm>
            <a:prstGeom prst="roundRect">
              <a:avLst>
                <a:gd name="adj" fmla="val 4930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9FAC5CE-9D73-42D7-A1A5-EBB2DB4EAA69}"/>
                </a:ext>
              </a:extLst>
            </xdr:cNvPr>
            <xdr:cNvGraphicFramePr>
              <a:graphicFrameLocks/>
            </xdr:cNvGraphicFramePr>
          </xdr:nvGraphicFramePr>
          <xdr:xfrm>
            <a:off x="2393155" y="1750220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1AD81869-9FCF-2CF0-22E4-E43D47BB443C}"/>
              </a:ext>
            </a:extLst>
          </xdr:cNvPr>
          <xdr:cNvSpPr/>
        </xdr:nvSpPr>
        <xdr:spPr>
          <a:xfrm>
            <a:off x="2168465" y="3417091"/>
            <a:ext cx="8316000" cy="486019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</a:t>
            </a:r>
            <a:r>
              <a:rPr lang="pt-BR" sz="1100" b="1" baseline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XBOX GAME PASS</a:t>
            </a:r>
            <a:endParaRPr lang="pt-BR" b="1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296496</xdr:colOff>
      <xdr:row>2</xdr:row>
      <xdr:rowOff>92503</xdr:rowOff>
    </xdr:from>
    <xdr:to>
      <xdr:col>0</xdr:col>
      <xdr:colOff>1627553</xdr:colOff>
      <xdr:row>3</xdr:row>
      <xdr:rowOff>15569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C5D44BD2-0162-01EB-3433-603EFA79E16A}"/>
            </a:ext>
          </a:extLst>
        </xdr:cNvPr>
        <xdr:cNvSpPr/>
      </xdr:nvSpPr>
      <xdr:spPr>
        <a:xfrm>
          <a:off x="296496" y="915865"/>
          <a:ext cx="1331057" cy="29307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i="1">
              <a:solidFill>
                <a:sysClr val="windowText" lastClr="000000"/>
              </a:solidFill>
            </a:rPr>
            <a:t>Bem-vinda,</a:t>
          </a:r>
          <a:r>
            <a:rPr lang="pt-BR" sz="1100" i="1" baseline="0">
              <a:solidFill>
                <a:sysClr val="windowText" lastClr="000000"/>
              </a:solidFill>
            </a:rPr>
            <a:t> Roberta!</a:t>
          </a:r>
          <a:endParaRPr lang="pt-BR" sz="1100" i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0</xdr:col>
      <xdr:colOff>669313</xdr:colOff>
      <xdr:row>1</xdr:row>
      <xdr:rowOff>7938</xdr:rowOff>
    </xdr:from>
    <xdr:to>
      <xdr:col>0</xdr:col>
      <xdr:colOff>1254735</xdr:colOff>
      <xdr:row>2</xdr:row>
      <xdr:rowOff>68081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7EA886E2-1F7F-4098-98B9-C8AC9E9A865F}"/>
            </a:ext>
          </a:extLst>
        </xdr:cNvPr>
        <xdr:cNvSpPr/>
      </xdr:nvSpPr>
      <xdr:spPr>
        <a:xfrm>
          <a:off x="669313" y="317501"/>
          <a:ext cx="585422" cy="573942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190500</xdr:colOff>
      <xdr:row>3</xdr:row>
      <xdr:rowOff>100152</xdr:rowOff>
    </xdr:from>
    <xdr:to>
      <xdr:col>10</xdr:col>
      <xdr:colOff>75640</xdr:colOff>
      <xdr:row>5</xdr:row>
      <xdr:rowOff>82050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204E9C47-4ABB-401A-97B4-5882AE97735B}"/>
            </a:ext>
          </a:extLst>
        </xdr:cNvPr>
        <xdr:cNvSpPr/>
      </xdr:nvSpPr>
      <xdr:spPr>
        <a:xfrm>
          <a:off x="2166938" y="1290777"/>
          <a:ext cx="4981015" cy="29146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i="1">
              <a:solidFill>
                <a:schemeClr val="tx1">
                  <a:lumMod val="65000"/>
                  <a:lumOff val="35000"/>
                </a:schemeClr>
              </a:solidFill>
            </a:rPr>
            <a:t>Calculation period:</a:t>
          </a:r>
          <a:r>
            <a:rPr lang="pt-BR" sz="1100" i="1" baseline="0">
              <a:solidFill>
                <a:schemeClr val="tx1">
                  <a:lumMod val="65000"/>
                  <a:lumOff val="35000"/>
                </a:schemeClr>
              </a:solidFill>
            </a:rPr>
            <a:t> 01/01/2024 - 31/12/2025 | Last update: 18/10/2026 09/37</a:t>
          </a:r>
          <a:endParaRPr lang="pt-BR" sz="1100" i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na" refreshedDate="46313.491509375002" createdVersion="8" refreshedVersion="8" minRefreshableVersion="3" recordCount="295" xr:uid="{17B9B4E7-45CA-43C8-B95C-C41879B4910F}">
  <cacheSource type="worksheet">
    <worksheetSource name="tbl_anual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7356802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5BDEB-37DE-4E30-AB95-671192B7606A}" name="Tabela dinâmica3" cacheId="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6">
  <location ref="B36:C4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66099-B4F4-4FB2-A711-481ED8D9F81A}" name="tbl_easeasonpass_total" cacheId="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6">
  <location ref="B25:C29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 numFmtId="165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255D7-0CEC-42F5-BC4E-617BB9D1DCBA}" name="tbl_anual_total" cacheId="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6">
  <location ref="B14:C17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0172837-2B96-42A2-AA5A-E78C4A754048}" sourceName="Subscription Type">
  <pivotTables>
    <pivotTable tabId="3" name="tbl_anual_total"/>
    <pivotTable tabId="3" name="tbl_easeasonpass_total"/>
    <pivotTable tabId="3" name="Tabela dinâmica3"/>
  </pivotTables>
  <data>
    <tabular pivotCacheId="735680239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3ED560B-D9C3-4888-954B-5E046A051CC4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l_anual" displayName="tbl_anual" ref="A1:M296" totalsRowShown="0" dataDxfId="23">
  <autoFilter ref="A1:M296" xr:uid="{34E0E886-4200-4B36-97B3-63DB74FF40A0}"/>
  <tableColumns count="13">
    <tableColumn id="1" xr3:uid="{C4A90516-688A-46BF-9167-EA16C2A8A652}" name="Subscriber ID" dataDxfId="22"/>
    <tableColumn id="2" xr3:uid="{53DD39D0-2220-4121-9E9D-4EAA7E151C0F}" name="Name" dataDxfId="21"/>
    <tableColumn id="3" xr3:uid="{4F5FF271-4C57-4BE0-8F2C-F82C8551625C}" name="Plan" dataDxfId="20"/>
    <tableColumn id="4" xr3:uid="{8C17EB93-79B9-4E55-B8F7-BEB82F8253E9}" name="Start Date" dataDxfId="19"/>
    <tableColumn id="5" xr3:uid="{48CEDF9B-1689-482A-A828-5CCE7713264A}" name="Auto Renewal" dataDxfId="18"/>
    <tableColumn id="6" xr3:uid="{78B82374-9AA7-4E38-AE4F-78CDE6C83720}" name="Subscription Price" dataDxfId="17" dataCellStyle="Moeda"/>
    <tableColumn id="7" xr3:uid="{F2433F68-AF33-49D0-B1FB-19A396074EDE}" name="Subscription Type" dataDxfId="16"/>
    <tableColumn id="8" xr3:uid="{FD4D9C95-F6E5-4933-9068-A71FF7DF9343}" name="EA Play Season Pass" dataDxfId="15"/>
    <tableColumn id="13" xr3:uid="{978DD0D2-834E-4CE4-A39B-30976086932F}" name="EA Play Season Pass_x000a_Price" dataDxfId="14" dataCellStyle="Moeda"/>
    <tableColumn id="9" xr3:uid="{6E29F111-C395-4580-9DAD-3407D9E8B1A4}" name="Minecraft Season Pass" dataDxfId="13"/>
    <tableColumn id="10" xr3:uid="{EF544EAA-7F25-4FD5-A10E-8E62804DB9E3}" name="Minecraft Season Pass Price" dataDxfId="12" dataCellStyle="Moeda"/>
    <tableColumn id="11" xr3:uid="{7F6EB64A-1F07-4E48-9F0F-AC7D9DCD26F8}" name="Coupon Value" dataDxfId="11" dataCellStyle="Moeda"/>
    <tableColumn id="12" xr3:uid="{2B04ABC8-DE6F-426E-ADC0-D8AFC68CA58E}" name="Total Value" dataDxfId="1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0" zoomScaleNormal="100" workbookViewId="0">
      <selection activeCell="A28" sqref="A2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6" sqref="A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G40"/>
  <sheetViews>
    <sheetView showGridLines="0" topLeftCell="A20" workbookViewId="0">
      <selection activeCell="D38" sqref="D38"/>
    </sheetView>
  </sheetViews>
  <sheetFormatPr defaultRowHeight="15" x14ac:dyDescent="0.25"/>
  <cols>
    <col min="2" max="2" width="18.42578125" bestFit="1" customWidth="1"/>
    <col min="3" max="3" width="19.28515625" bestFit="1" customWidth="1"/>
    <col min="4" max="4" width="30.57031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7" x14ac:dyDescent="0.25">
      <c r="B3" s="15" t="s">
        <v>316</v>
      </c>
      <c r="C3" s="15"/>
      <c r="D3" s="15"/>
      <c r="E3" s="15"/>
      <c r="F3" s="15"/>
      <c r="G3" s="15"/>
    </row>
    <row r="6" spans="2:7" x14ac:dyDescent="0.25">
      <c r="B6" s="16" t="s">
        <v>317</v>
      </c>
      <c r="C6" s="16"/>
      <c r="D6" s="16"/>
      <c r="E6" s="16"/>
      <c r="F6" s="16"/>
      <c r="G6" s="16"/>
    </row>
    <row r="7" spans="2:7" x14ac:dyDescent="0.25">
      <c r="B7" s="16" t="s">
        <v>318</v>
      </c>
      <c r="C7" s="16"/>
      <c r="D7" s="16"/>
      <c r="E7" s="16"/>
      <c r="F7" s="16"/>
      <c r="G7" s="16"/>
    </row>
    <row r="12" spans="2:7" x14ac:dyDescent="0.25">
      <c r="B12" s="13" t="s">
        <v>16</v>
      </c>
      <c r="C12" t="s">
        <v>27</v>
      </c>
    </row>
    <row r="14" spans="2:7" x14ac:dyDescent="0.25">
      <c r="B14" s="13" t="s">
        <v>314</v>
      </c>
      <c r="C14" t="s">
        <v>313</v>
      </c>
    </row>
    <row r="15" spans="2:7" x14ac:dyDescent="0.25">
      <c r="B15" s="14" t="s">
        <v>23</v>
      </c>
      <c r="C15" s="12">
        <v>806</v>
      </c>
    </row>
    <row r="16" spans="2:7" x14ac:dyDescent="0.25">
      <c r="B16" s="14" t="s">
        <v>19</v>
      </c>
      <c r="C16" s="12">
        <v>1502</v>
      </c>
    </row>
    <row r="17" spans="2:5" x14ac:dyDescent="0.25">
      <c r="B17" s="14" t="s">
        <v>315</v>
      </c>
      <c r="C17" s="12">
        <v>2308</v>
      </c>
    </row>
    <row r="20" spans="2:5" x14ac:dyDescent="0.25">
      <c r="B20" s="14" t="s">
        <v>322</v>
      </c>
    </row>
    <row r="23" spans="2:5" x14ac:dyDescent="0.25">
      <c r="B23" s="13" t="s">
        <v>16</v>
      </c>
      <c r="C23" t="s">
        <v>27</v>
      </c>
    </row>
    <row r="25" spans="2:5" x14ac:dyDescent="0.25">
      <c r="B25" s="13" t="s">
        <v>314</v>
      </c>
      <c r="C25" t="s">
        <v>320</v>
      </c>
    </row>
    <row r="26" spans="2:5" x14ac:dyDescent="0.25">
      <c r="B26" s="14" t="s">
        <v>22</v>
      </c>
      <c r="C26" s="18">
        <v>0</v>
      </c>
    </row>
    <row r="27" spans="2:5" x14ac:dyDescent="0.25">
      <c r="B27" s="14" t="s">
        <v>26</v>
      </c>
      <c r="C27" s="18">
        <v>0</v>
      </c>
    </row>
    <row r="28" spans="2:5" x14ac:dyDescent="0.25">
      <c r="B28" s="14" t="s">
        <v>18</v>
      </c>
      <c r="C28" s="18">
        <v>990</v>
      </c>
      <c r="E28" s="18">
        <f>GETPIVOTDATA("EA Play Season Pass
Price",$B$25,"Plan","Ultimate")</f>
        <v>990</v>
      </c>
    </row>
    <row r="29" spans="2:5" x14ac:dyDescent="0.25">
      <c r="B29" s="14" t="s">
        <v>315</v>
      </c>
      <c r="C29" s="18">
        <v>990</v>
      </c>
    </row>
    <row r="32" spans="2:5" x14ac:dyDescent="0.25">
      <c r="B32" s="14" t="s">
        <v>323</v>
      </c>
    </row>
    <row r="34" spans="2:5" x14ac:dyDescent="0.25">
      <c r="B34" s="13" t="s">
        <v>16</v>
      </c>
      <c r="C34" t="s">
        <v>27</v>
      </c>
    </row>
    <row r="36" spans="2:5" x14ac:dyDescent="0.25">
      <c r="B36" s="13" t="s">
        <v>314</v>
      </c>
      <c r="C36" t="s">
        <v>321</v>
      </c>
    </row>
    <row r="37" spans="2:5" x14ac:dyDescent="0.25">
      <c r="B37" s="14" t="s">
        <v>22</v>
      </c>
      <c r="C37" s="18">
        <v>0</v>
      </c>
    </row>
    <row r="38" spans="2:5" x14ac:dyDescent="0.25">
      <c r="B38" s="14" t="s">
        <v>26</v>
      </c>
      <c r="C38" s="18">
        <v>480</v>
      </c>
      <c r="E38" s="18">
        <f>GETPIVOTDATA("Minecraft Season Pass Price",$B$36)</f>
        <v>1140</v>
      </c>
    </row>
    <row r="39" spans="2:5" x14ac:dyDescent="0.25">
      <c r="B39" s="14" t="s">
        <v>18</v>
      </c>
      <c r="C39" s="18">
        <v>660</v>
      </c>
    </row>
    <row r="40" spans="2:5" x14ac:dyDescent="0.25">
      <c r="B40" s="14" t="s">
        <v>315</v>
      </c>
      <c r="C40" s="18">
        <v>1140</v>
      </c>
    </row>
  </sheetData>
  <mergeCells count="3">
    <mergeCell ref="B3:G3"/>
    <mergeCell ref="B6:G6"/>
    <mergeCell ref="B7:G7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O128"/>
  <sheetViews>
    <sheetView showGridLines="0" showRowColHeaders="0" tabSelected="1" zoomScale="112" zoomScaleNormal="80" workbookViewId="0">
      <selection activeCell="R16" sqref="R16"/>
    </sheetView>
  </sheetViews>
  <sheetFormatPr defaultRowHeight="15" x14ac:dyDescent="0.25"/>
  <cols>
    <col min="1" max="1" width="29.5703125" style="5" customWidth="1"/>
    <col min="2" max="2" width="3.5703125" customWidth="1"/>
    <col min="12" max="12" width="6.5703125" customWidth="1"/>
  </cols>
  <sheetData>
    <row r="1" spans="1:15" ht="24" customHeight="1" x14ac:dyDescent="0.25"/>
    <row r="2" spans="1:15" ht="40.5" customHeight="1" thickBot="1" x14ac:dyDescent="0.55000000000000004">
      <c r="C2" s="19" t="s">
        <v>319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29.25" customHeight="1" thickTop="1" x14ac:dyDescent="0.25"/>
    <row r="4" spans="1:15" s="7" customFormat="1" ht="16.5" customHeight="1" x14ac:dyDescent="0.25">
      <c r="A4" s="5"/>
    </row>
    <row r="5" spans="1:15" s="7" customFormat="1" ht="7.5" customHeight="1" x14ac:dyDescent="0.25">
      <c r="A5" s="5"/>
    </row>
    <row r="6" spans="1:15" s="7" customFormat="1" ht="10.5" customHeight="1" x14ac:dyDescent="0.25">
      <c r="A6" s="5"/>
    </row>
    <row r="7" spans="1:15" s="7" customFormat="1" ht="9.75" customHeight="1" x14ac:dyDescent="0.25">
      <c r="A7" s="5"/>
    </row>
    <row r="8" spans="1:15" s="7" customFormat="1" ht="33" customHeight="1" x14ac:dyDescent="0.25">
      <c r="A8" s="5"/>
    </row>
    <row r="9" spans="1:15" s="7" customFormat="1" x14ac:dyDescent="0.25">
      <c r="A9" s="5"/>
    </row>
    <row r="10" spans="1:15" s="7" customFormat="1" x14ac:dyDescent="0.25">
      <c r="A10" s="5"/>
    </row>
    <row r="11" spans="1:15" s="7" customFormat="1" x14ac:dyDescent="0.25">
      <c r="A11" s="5"/>
    </row>
    <row r="12" spans="1:15" s="7" customFormat="1" x14ac:dyDescent="0.25">
      <c r="A12" s="5"/>
    </row>
    <row r="13" spans="1:15" s="7" customFormat="1" x14ac:dyDescent="0.25">
      <c r="A13" s="5"/>
    </row>
    <row r="14" spans="1:15" s="7" customFormat="1" x14ac:dyDescent="0.25">
      <c r="A14" s="5"/>
    </row>
    <row r="15" spans="1:15" s="7" customFormat="1" x14ac:dyDescent="0.25">
      <c r="A15" s="5"/>
    </row>
    <row r="16" spans="1:15" s="7" customFormat="1" x14ac:dyDescent="0.25">
      <c r="A16" s="5"/>
    </row>
    <row r="17" spans="1:1" s="7" customFormat="1" x14ac:dyDescent="0.25">
      <c r="A17" s="5"/>
    </row>
    <row r="18" spans="1:1" s="7" customFormat="1" x14ac:dyDescent="0.25">
      <c r="A18" s="5"/>
    </row>
    <row r="19" spans="1:1" s="7" customFormat="1" x14ac:dyDescent="0.25">
      <c r="A19" s="5"/>
    </row>
    <row r="20" spans="1:1" s="7" customFormat="1" x14ac:dyDescent="0.25">
      <c r="A20" s="5"/>
    </row>
    <row r="21" spans="1:1" s="7" customFormat="1" x14ac:dyDescent="0.25">
      <c r="A21" s="5"/>
    </row>
    <row r="22" spans="1:1" s="7" customFormat="1" x14ac:dyDescent="0.25">
      <c r="A22" s="5"/>
    </row>
    <row r="23" spans="1:1" s="7" customFormat="1" x14ac:dyDescent="0.25">
      <c r="A23" s="5"/>
    </row>
    <row r="24" spans="1:1" s="7" customFormat="1" x14ac:dyDescent="0.25">
      <c r="A24" s="5"/>
    </row>
    <row r="25" spans="1:1" s="7" customFormat="1" x14ac:dyDescent="0.25">
      <c r="A25" s="5"/>
    </row>
    <row r="26" spans="1:1" s="7" customFormat="1" x14ac:dyDescent="0.25">
      <c r="A26" s="5"/>
    </row>
    <row r="27" spans="1:1" s="7" customFormat="1" x14ac:dyDescent="0.25">
      <c r="A27" s="5"/>
    </row>
    <row r="28" spans="1:1" s="7" customFormat="1" x14ac:dyDescent="0.25">
      <c r="A28" s="5"/>
    </row>
    <row r="29" spans="1:1" s="7" customFormat="1" x14ac:dyDescent="0.25">
      <c r="A29" s="5"/>
    </row>
    <row r="30" spans="1:1" s="7" customFormat="1" x14ac:dyDescent="0.25">
      <c r="A30" s="5"/>
    </row>
    <row r="31" spans="1:1" s="7" customFormat="1" x14ac:dyDescent="0.25">
      <c r="A31" s="5"/>
    </row>
    <row r="32" spans="1:1" s="7" customFormat="1" x14ac:dyDescent="0.25">
      <c r="A32" s="5"/>
    </row>
    <row r="33" spans="1:1" s="7" customFormat="1" x14ac:dyDescent="0.25">
      <c r="A33" s="5"/>
    </row>
    <row r="34" spans="1:1" s="7" customFormat="1" x14ac:dyDescent="0.25">
      <c r="A34" s="5"/>
    </row>
    <row r="35" spans="1:1" s="7" customFormat="1" x14ac:dyDescent="0.25">
      <c r="A35" s="5"/>
    </row>
    <row r="36" spans="1:1" s="7" customFormat="1" x14ac:dyDescent="0.25">
      <c r="A36" s="5"/>
    </row>
    <row r="37" spans="1:1" s="7" customFormat="1" x14ac:dyDescent="0.25">
      <c r="A37" s="5"/>
    </row>
    <row r="38" spans="1:1" s="7" customFormat="1" x14ac:dyDescent="0.25">
      <c r="A38" s="5"/>
    </row>
    <row r="39" spans="1:1" s="7" customFormat="1" x14ac:dyDescent="0.25">
      <c r="A39" s="5"/>
    </row>
    <row r="40" spans="1:1" s="7" customFormat="1" x14ac:dyDescent="0.25">
      <c r="A40" s="5"/>
    </row>
    <row r="41" spans="1:1" s="7" customFormat="1" x14ac:dyDescent="0.25">
      <c r="A41" s="5"/>
    </row>
    <row r="42" spans="1:1" s="7" customFormat="1" x14ac:dyDescent="0.25">
      <c r="A42" s="5"/>
    </row>
    <row r="43" spans="1:1" s="7" customFormat="1" x14ac:dyDescent="0.25">
      <c r="A43" s="5"/>
    </row>
    <row r="44" spans="1:1" s="7" customFormat="1" x14ac:dyDescent="0.25">
      <c r="A44" s="5"/>
    </row>
    <row r="45" spans="1:1" s="7" customFormat="1" x14ac:dyDescent="0.25">
      <c r="A45" s="5"/>
    </row>
    <row r="46" spans="1:1" s="7" customFormat="1" x14ac:dyDescent="0.25">
      <c r="A46" s="5"/>
    </row>
    <row r="47" spans="1:1" s="7" customFormat="1" x14ac:dyDescent="0.25">
      <c r="A47" s="5"/>
    </row>
    <row r="48" spans="1:1" s="7" customFormat="1" x14ac:dyDescent="0.25">
      <c r="A48" s="5"/>
    </row>
    <row r="49" spans="1:1" s="7" customFormat="1" x14ac:dyDescent="0.25">
      <c r="A49" s="5"/>
    </row>
    <row r="50" spans="1:1" s="7" customFormat="1" x14ac:dyDescent="0.25">
      <c r="A50" s="5"/>
    </row>
    <row r="51" spans="1:1" s="7" customFormat="1" x14ac:dyDescent="0.25">
      <c r="A51" s="5"/>
    </row>
    <row r="52" spans="1:1" s="7" customFormat="1" x14ac:dyDescent="0.25">
      <c r="A52" s="5"/>
    </row>
    <row r="53" spans="1:1" s="7" customFormat="1" x14ac:dyDescent="0.25">
      <c r="A53" s="5"/>
    </row>
    <row r="54" spans="1:1" s="7" customFormat="1" x14ac:dyDescent="0.25">
      <c r="A54" s="5"/>
    </row>
    <row r="55" spans="1:1" s="7" customFormat="1" x14ac:dyDescent="0.25">
      <c r="A55" s="5"/>
    </row>
    <row r="56" spans="1:1" s="7" customFormat="1" x14ac:dyDescent="0.25">
      <c r="A56" s="5"/>
    </row>
    <row r="57" spans="1:1" s="7" customFormat="1" x14ac:dyDescent="0.25">
      <c r="A57" s="5"/>
    </row>
    <row r="58" spans="1:1" s="7" customFormat="1" x14ac:dyDescent="0.25">
      <c r="A58" s="5"/>
    </row>
    <row r="59" spans="1:1" s="7" customFormat="1" x14ac:dyDescent="0.25">
      <c r="A59" s="5"/>
    </row>
    <row r="60" spans="1:1" s="7" customFormat="1" x14ac:dyDescent="0.25">
      <c r="A60" s="5"/>
    </row>
    <row r="61" spans="1:1" s="7" customFormat="1" x14ac:dyDescent="0.25">
      <c r="A61" s="5"/>
    </row>
    <row r="62" spans="1:1" s="7" customFormat="1" x14ac:dyDescent="0.25">
      <c r="A62" s="5"/>
    </row>
    <row r="63" spans="1:1" s="7" customFormat="1" x14ac:dyDescent="0.25">
      <c r="A63" s="5"/>
    </row>
    <row r="64" spans="1:1" s="7" customFormat="1" x14ac:dyDescent="0.25">
      <c r="A64" s="5"/>
    </row>
    <row r="65" spans="1:1" s="7" customFormat="1" x14ac:dyDescent="0.25">
      <c r="A65" s="5"/>
    </row>
    <row r="66" spans="1:1" s="7" customFormat="1" x14ac:dyDescent="0.25">
      <c r="A66" s="5"/>
    </row>
    <row r="67" spans="1:1" s="7" customFormat="1" x14ac:dyDescent="0.25">
      <c r="A67" s="5"/>
    </row>
    <row r="68" spans="1:1" s="7" customFormat="1" x14ac:dyDescent="0.25">
      <c r="A68" s="5"/>
    </row>
    <row r="69" spans="1:1" s="7" customFormat="1" x14ac:dyDescent="0.25">
      <c r="A69" s="5"/>
    </row>
    <row r="70" spans="1:1" s="7" customFormat="1" x14ac:dyDescent="0.25">
      <c r="A70" s="5"/>
    </row>
    <row r="71" spans="1:1" s="7" customFormat="1" x14ac:dyDescent="0.25">
      <c r="A71" s="5"/>
    </row>
    <row r="72" spans="1:1" s="7" customFormat="1" x14ac:dyDescent="0.25">
      <c r="A72" s="5"/>
    </row>
    <row r="73" spans="1:1" s="7" customFormat="1" x14ac:dyDescent="0.25">
      <c r="A73" s="5"/>
    </row>
    <row r="74" spans="1:1" s="7" customFormat="1" x14ac:dyDescent="0.25">
      <c r="A74" s="5"/>
    </row>
    <row r="75" spans="1:1" s="7" customFormat="1" x14ac:dyDescent="0.25">
      <c r="A75" s="5"/>
    </row>
    <row r="76" spans="1:1" s="7" customFormat="1" x14ac:dyDescent="0.25">
      <c r="A76" s="5"/>
    </row>
    <row r="77" spans="1:1" s="7" customFormat="1" x14ac:dyDescent="0.25">
      <c r="A77" s="5"/>
    </row>
    <row r="78" spans="1:1" s="7" customFormat="1" x14ac:dyDescent="0.25">
      <c r="A78" s="5"/>
    </row>
    <row r="79" spans="1:1" s="7" customFormat="1" x14ac:dyDescent="0.25">
      <c r="A79" s="5"/>
    </row>
    <row r="80" spans="1:1" s="7" customFormat="1" x14ac:dyDescent="0.25">
      <c r="A80" s="5"/>
    </row>
    <row r="81" spans="1:1" s="7" customFormat="1" x14ac:dyDescent="0.25">
      <c r="A81" s="5"/>
    </row>
    <row r="82" spans="1:1" s="7" customFormat="1" x14ac:dyDescent="0.25">
      <c r="A82" s="5"/>
    </row>
    <row r="83" spans="1:1" s="7" customFormat="1" x14ac:dyDescent="0.25">
      <c r="A83" s="5"/>
    </row>
    <row r="84" spans="1:1" s="7" customFormat="1" x14ac:dyDescent="0.25">
      <c r="A84" s="5"/>
    </row>
    <row r="85" spans="1:1" s="7" customFormat="1" x14ac:dyDescent="0.25">
      <c r="A85" s="5"/>
    </row>
    <row r="86" spans="1:1" s="7" customFormat="1" x14ac:dyDescent="0.25">
      <c r="A86" s="5"/>
    </row>
    <row r="87" spans="1:1" s="7" customFormat="1" x14ac:dyDescent="0.25">
      <c r="A87" s="5"/>
    </row>
    <row r="88" spans="1:1" s="7" customFormat="1" x14ac:dyDescent="0.25">
      <c r="A88" s="5"/>
    </row>
    <row r="89" spans="1:1" s="7" customFormat="1" x14ac:dyDescent="0.25">
      <c r="A89" s="5"/>
    </row>
    <row r="90" spans="1:1" s="7" customFormat="1" x14ac:dyDescent="0.25">
      <c r="A90" s="5"/>
    </row>
    <row r="91" spans="1:1" s="7" customFormat="1" x14ac:dyDescent="0.25">
      <c r="A91" s="5"/>
    </row>
    <row r="92" spans="1:1" s="7" customFormat="1" x14ac:dyDescent="0.25">
      <c r="A92" s="5"/>
    </row>
    <row r="93" spans="1:1" s="7" customFormat="1" x14ac:dyDescent="0.25">
      <c r="A93" s="5"/>
    </row>
    <row r="94" spans="1:1" s="7" customFormat="1" x14ac:dyDescent="0.25">
      <c r="A94" s="5"/>
    </row>
    <row r="95" spans="1:1" s="7" customFormat="1" x14ac:dyDescent="0.25">
      <c r="A95" s="5"/>
    </row>
    <row r="96" spans="1:1" s="7" customFormat="1" x14ac:dyDescent="0.25">
      <c r="A96" s="5"/>
    </row>
    <row r="97" spans="1:1" s="7" customFormat="1" x14ac:dyDescent="0.25">
      <c r="A97" s="5"/>
    </row>
    <row r="98" spans="1:1" s="7" customFormat="1" x14ac:dyDescent="0.25">
      <c r="A98" s="5"/>
    </row>
    <row r="99" spans="1:1" s="7" customFormat="1" x14ac:dyDescent="0.25">
      <c r="A99" s="5"/>
    </row>
    <row r="100" spans="1:1" s="7" customFormat="1" x14ac:dyDescent="0.25">
      <c r="A100" s="5"/>
    </row>
    <row r="101" spans="1:1" s="7" customFormat="1" x14ac:dyDescent="0.25">
      <c r="A101" s="5"/>
    </row>
    <row r="102" spans="1:1" s="7" customFormat="1" x14ac:dyDescent="0.25">
      <c r="A102" s="5"/>
    </row>
    <row r="103" spans="1:1" s="7" customFormat="1" x14ac:dyDescent="0.25">
      <c r="A103" s="5"/>
    </row>
    <row r="104" spans="1:1" s="7" customFormat="1" x14ac:dyDescent="0.25">
      <c r="A104" s="5"/>
    </row>
    <row r="105" spans="1:1" s="7" customFormat="1" x14ac:dyDescent="0.25">
      <c r="A105" s="5"/>
    </row>
    <row r="106" spans="1:1" s="7" customFormat="1" x14ac:dyDescent="0.25">
      <c r="A106" s="5"/>
    </row>
    <row r="107" spans="1:1" s="7" customFormat="1" x14ac:dyDescent="0.25">
      <c r="A107" s="5"/>
    </row>
    <row r="108" spans="1:1" s="7" customFormat="1" x14ac:dyDescent="0.25">
      <c r="A108" s="5"/>
    </row>
    <row r="109" spans="1:1" s="7" customFormat="1" x14ac:dyDescent="0.25">
      <c r="A109" s="5"/>
    </row>
    <row r="110" spans="1:1" s="7" customFormat="1" x14ac:dyDescent="0.25">
      <c r="A110" s="5"/>
    </row>
    <row r="111" spans="1:1" s="7" customFormat="1" x14ac:dyDescent="0.25">
      <c r="A111" s="5"/>
    </row>
    <row r="112" spans="1:1" s="7" customFormat="1" x14ac:dyDescent="0.25">
      <c r="A112" s="5"/>
    </row>
    <row r="113" spans="1:1" s="7" customFormat="1" x14ac:dyDescent="0.25">
      <c r="A113" s="5"/>
    </row>
    <row r="114" spans="1:1" s="7" customFormat="1" x14ac:dyDescent="0.25">
      <c r="A114" s="5"/>
    </row>
    <row r="115" spans="1:1" s="7" customFormat="1" x14ac:dyDescent="0.25">
      <c r="A115" s="5"/>
    </row>
    <row r="116" spans="1:1" s="7" customFormat="1" x14ac:dyDescent="0.25">
      <c r="A116" s="5"/>
    </row>
    <row r="117" spans="1:1" s="7" customFormat="1" x14ac:dyDescent="0.25">
      <c r="A117" s="5"/>
    </row>
    <row r="118" spans="1:1" s="7" customFormat="1" x14ac:dyDescent="0.25">
      <c r="A118" s="5"/>
    </row>
    <row r="119" spans="1:1" s="7" customFormat="1" x14ac:dyDescent="0.25">
      <c r="A119" s="5"/>
    </row>
    <row r="120" spans="1:1" s="7" customFormat="1" x14ac:dyDescent="0.25">
      <c r="A120" s="5"/>
    </row>
    <row r="121" spans="1:1" s="7" customFormat="1" x14ac:dyDescent="0.25">
      <c r="A121" s="5"/>
    </row>
    <row r="122" spans="1:1" s="7" customFormat="1" x14ac:dyDescent="0.25">
      <c r="A122" s="5"/>
    </row>
    <row r="123" spans="1:1" s="7" customFormat="1" x14ac:dyDescent="0.25">
      <c r="A123" s="5"/>
    </row>
    <row r="124" spans="1:1" s="7" customFormat="1" x14ac:dyDescent="0.25">
      <c r="A124" s="5"/>
    </row>
    <row r="125" spans="1:1" s="7" customFormat="1" x14ac:dyDescent="0.25">
      <c r="A125" s="5"/>
    </row>
    <row r="126" spans="1:1" s="7" customFormat="1" x14ac:dyDescent="0.25">
      <c r="A126" s="5"/>
    </row>
    <row r="127" spans="1:1" s="7" customFormat="1" x14ac:dyDescent="0.25">
      <c r="A127" s="5"/>
    </row>
    <row r="128" spans="1:1" s="7" customFormat="1" x14ac:dyDescent="0.25">
      <c r="A128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Karina Albuquerque</cp:lastModifiedBy>
  <dcterms:created xsi:type="dcterms:W3CDTF">2024-12-19T13:13:10Z</dcterms:created>
  <dcterms:modified xsi:type="dcterms:W3CDTF">2026-10-18T15:28:04Z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